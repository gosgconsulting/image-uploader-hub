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pement\Return Document Reader\"/>
    </mc:Choice>
  </mc:AlternateContent>
  <xr:revisionPtr revIDLastSave="0" documentId="13_ncr:1_{807EFABC-A745-47F8-9A65-E6E3BD3D7EFD}" xr6:coauthVersionLast="47" xr6:coauthVersionMax="47" xr10:uidLastSave="{00000000-0000-0000-0000-000000000000}"/>
  <bookViews>
    <workbookView xWindow="-120" yWindow="-120" windowWidth="29040" windowHeight="15720" activeTab="1" xr2:uid="{DDE498C1-BD75-45A2-A002-71A5A3E4432F}"/>
  </bookViews>
  <sheets>
    <sheet name="Feuil1" sheetId="2" r:id="rId1"/>
    <sheet name="20260203145934236_retours_expor" sheetId="1" r:id="rId2"/>
  </sheets>
  <definedNames>
    <definedName name="_xlnm._FilterDatabase" localSheetId="1" hidden="1">'20260203145934236_retours_expor'!$A$1:$H$68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  <c r="C6" i="2"/>
  <c r="C4" i="2"/>
</calcChain>
</file>

<file path=xl/sharedStrings.xml><?xml version="1.0" encoding="utf-8"?>
<sst xmlns="http://schemas.openxmlformats.org/spreadsheetml/2006/main" count="348" uniqueCount="177">
  <si>
    <t>fichier_source</t>
  </si>
  <si>
    <t>page</t>
  </si>
  <si>
    <t>provenance</t>
  </si>
  <si>
    <t>numero_commande</t>
  </si>
  <si>
    <t>nom_produit</t>
  </si>
  <si>
    <t>date</t>
  </si>
  <si>
    <t>raison_retour</t>
  </si>
  <si>
    <t>lien_shopify</t>
  </si>
  <si>
    <t>20260203145934236.pdf</t>
  </si>
  <si>
    <t>FRNCH - Service : SHOP2SHOP</t>
  </si>
  <si>
    <t>#FR122904 / 1270873387864</t>
  </si>
  <si>
    <t>Manteau DELPHINA Bleu electrique - XS / BLEU ELECTRIQUE</t>
  </si>
  <si>
    <t>https://admin.shopify.com/store/frnch-fr/orders/1270873387864/refund</t>
  </si>
  <si>
    <t>Gilet MANILA Rose pale - S / ROSE PALE</t>
  </si>
  <si>
    <t>Manteau DELPHINA Bleu electrique - S / BLEU ELECTRIQUE</t>
  </si>
  <si>
    <t>FRNCH - Service : MONDIAL_RELAY</t>
  </si>
  <si>
    <t>#FR122508 / 12690691490165</t>
  </si>
  <si>
    <t>Pull CAMELIA Gris - S / GRIS</t>
  </si>
  <si>
    <t>https://admin.shopify.com/store/frnch-fr/orders/12690691490165/refund</t>
  </si>
  <si>
    <t>Robe OEILLET Noir - XS / NOIR</t>
  </si>
  <si>
    <t>#FR122203 / 12677488705909</t>
  </si>
  <si>
    <t>Veste PREVERT Noir - S / NOIR</t>
  </si>
  <si>
    <t>https://admin.shopify.com/store/frnch-fr/orders/12677488705909/refund</t>
  </si>
  <si>
    <t>Veste PREVERT Kaki - XS / KAKI</t>
  </si>
  <si>
    <t>Veste PREVERT Kaki - S / KAKI</t>
  </si>
  <si>
    <t>Zalando Partner</t>
  </si>
  <si>
    <t>11003146936962 / #FR132986</t>
  </si>
  <si>
    <t>Manteau MATHELINE Vert foret</t>
  </si>
  <si>
    <t>https://admin.shopify.com/store/frnch-fr/orders/11003146936962/refund</t>
  </si>
  <si>
    <t>FRNCH - Service : COLISSIMO</t>
  </si>
  <si>
    <t>#FR121487 / 12606348820853</t>
  </si>
  <si>
    <t>Jupe NASSIA Chocolat - L / CHOCOLAT</t>
  </si>
  <si>
    <t>https://admin.shopify.com/store/frnch-fr/orders/12606348820853/refund</t>
  </si>
  <si>
    <t>#FR121915 / 126644O9129333</t>
  </si>
  <si>
    <t>Pull DIAMOND Rouge - S / ROUGE</t>
  </si>
  <si>
    <t>https://admin.shopify.com/store/frnch-fr/orders/126644O9129333/refund</t>
  </si>
  <si>
    <t>Pull DIAMOND Gris - S / GRIS</t>
  </si>
  <si>
    <t>#FR122449 / 12688376332661</t>
  </si>
  <si>
    <t>Robe DIANELLA Fuchsia - M / FUCHSIA</t>
  </si>
  <si>
    <t>https://admin.shopify.com/store/frnch-fr/orders/12688376332661/refund</t>
  </si>
  <si>
    <t>#FR123383 / 12734542152053</t>
  </si>
  <si>
    <t>Top DONNA Noir - M / NOIR</t>
  </si>
  <si>
    <t>https://admin.shopify.com/store/frnch-fr/orders/12734542152053/refund</t>
  </si>
  <si>
    <t>FRNCH - Service : COLISSIMO_RELAY</t>
  </si>
  <si>
    <t>#FR122514 / 12690856804725</t>
  </si>
  <si>
    <t>Blouse MISTIGRI Geo flowers - XS / GEO FLOWERS</t>
  </si>
  <si>
    <t>https://admin.shopify.com/store/frnch-fr/orders/12690856804725/refund</t>
  </si>
  <si>
    <t>#FR123073 / 12717183656197</t>
  </si>
  <si>
    <t>Jean GAYNOR Bleu jean - 25 / BLEU-JEAN</t>
  </si>
  <si>
    <t>https://admin.shopify.com/store/frnch-fr/orders/12717183656197/refund</t>
  </si>
  <si>
    <t>#FR123260 / 127276860706451</t>
  </si>
  <si>
    <t>Cardigan MORAND Rouge - S / ROUGE</t>
  </si>
  <si>
    <t>https://admin.shopify.com/store/frnch-fr/orders/127276860706451/refund</t>
  </si>
  <si>
    <t>#FR122450 / 12688418308469</t>
  </si>
  <si>
    <t>Chemise RAVEN Noir - M / NOIR</t>
  </si>
  <si>
    <t>https://admin.shopify.com/store/frnch-fr/orders/12688418308469/refund</t>
  </si>
  <si>
    <t>Pull MYOSOTIS Bleu jean - M / BLEU JEAN</t>
  </si>
  <si>
    <t>#FR122442 / 12688145613173</t>
  </si>
  <si>
    <t>Blouse BOLDO Marron glace - S / MARRON GLACE</t>
  </si>
  <si>
    <t>https://admin.shopify.com/store/frnch-fr/orders/12688145613173/refund</t>
  </si>
  <si>
    <t>Jean SUKI Bleu nuit - 26 / BLEU NUIT</t>
  </si>
  <si>
    <t>#FR123432 / 12736800063861</t>
  </si>
  <si>
    <t>Robe SIL Rouge - XS / ROUGE</t>
  </si>
  <si>
    <t>https://admin.shopify.com/store/frnch-fr/orders/12736800063861/refund</t>
  </si>
  <si>
    <t>#FR123069 / 12717105676661</t>
  </si>
  <si>
    <t>Veste PREVERT Noir - XL / NOIR</t>
  </si>
  <si>
    <t>https://admin.shopify.com/store/frnch-fr/orders/12717105676661/refund</t>
  </si>
  <si>
    <t>#FR122774 / 12702020862325</t>
  </si>
  <si>
    <t>Combi-pantalon ALYA Lilas - S / LILAS</t>
  </si>
  <si>
    <t>https://admin.shopify.com/store/frnch-fr/orders/12702020862325/refund</t>
  </si>
  <si>
    <t>#FR123123 / 12719818932597</t>
  </si>
  <si>
    <t>Veste PREVERT Marron glace - M / MARRON GLACE</t>
  </si>
  <si>
    <t>https://admin.shopify.com/store/frnch-fr/orders/12719818932597/refund</t>
  </si>
  <si>
    <t>#FR123465 / 12740824400245</t>
  </si>
  <si>
    <t>Jean PRUNELLA Bleu marine - 27 / BLEU MARINE</t>
  </si>
  <si>
    <t>https://admin.shopify.com/store/frnch-fr/orders/12740824400245/refund</t>
  </si>
  <si>
    <t>#FR123018 / 12714991976821</t>
  </si>
  <si>
    <t>Pantalon AUSTEN Lilas - S / LILAS</t>
  </si>
  <si>
    <t>https://admin.shopify.com/store/frnch-fr/orders/12714991976821/refund</t>
  </si>
  <si>
    <t>Blouse CHOUPETTE Rouge - M / ROUGE</t>
  </si>
  <si>
    <t>#FR123673 / 127542831020581</t>
  </si>
  <si>
    <t>Trench HALIMI Bordeaux - XS / BORDEAUX</t>
  </si>
  <si>
    <t>https://admin.shopify.com/store/frnch-fr/orders/127542831020581/refund</t>
  </si>
  <si>
    <t>11003147134569 / #FR123289</t>
  </si>
  <si>
    <t>Manteau NEMORALIS Beige</t>
  </si>
  <si>
    <t>Ne me plaît pas</t>
  </si>
  <si>
    <t>https://admin.shopify.com/store/frnch-fr/orders/11003147134569/refund</t>
  </si>
  <si>
    <t>Veste PREVEST Marron glacé</t>
  </si>
  <si>
    <t>Pantalon HORTENSIS Beige</t>
  </si>
  <si>
    <t>11003146785558 / #FR122819</t>
  </si>
  <si>
    <t>Pull TRIOLET Marron glace</t>
  </si>
  <si>
    <t>Trop grand</t>
  </si>
  <si>
    <t>https://admin.shopify.com/store/frnch-fr/orders/11003146785558/refund</t>
  </si>
  <si>
    <t>11003147040145 / #FR123132</t>
  </si>
  <si>
    <t>Robe DOMITILLE Anthracite</t>
  </si>
  <si>
    <t>https://admin.shopify.com/store/frnch-fr/orders/11003147040145/refund</t>
  </si>
  <si>
    <t>10301199979862 / #FR123069</t>
  </si>
  <si>
    <t>Veste PREVERT Noir</t>
  </si>
  <si>
    <t>https://admin.shopify.com/store/frnch-fr/orders/10301199979862/refund</t>
  </si>
  <si>
    <t>110031470082933 / #FR123086</t>
  </si>
  <si>
    <t>Top CHARTREUX Gris</t>
  </si>
  <si>
    <t>https://admin.shopify.com/store/frnch-fr/orders/110031470082933/refund</t>
  </si>
  <si>
    <t>T-shirt BAZIN Rouge</t>
  </si>
  <si>
    <t>10301200287235 / #FR123466</t>
  </si>
  <si>
    <t>Veste PREVERT Bordeaux</t>
  </si>
  <si>
    <t>https://admin.shopify.com/store/frnch-fr/orders/10301200287235/refund</t>
  </si>
  <si>
    <t>11003146980163 / #FRI23052</t>
  </si>
  <si>
    <t>Manteau GALEA Lilas</t>
  </si>
  <si>
    <t>https://admin.shopify.com/store/frnch-fr/orders/11003146980163/refund</t>
  </si>
  <si>
    <t>11006146348704 / #FR122172</t>
  </si>
  <si>
    <t>Jean GAYNOR Bleu jean</t>
  </si>
  <si>
    <t>Trop petit</t>
  </si>
  <si>
    <t>https://admin.shopify.com/store/frnch-fr/orders/11006146348704/refund</t>
  </si>
  <si>
    <t>11006147119838 / #FR123268</t>
  </si>
  <si>
    <t>Top LOTIER Salon nuit</t>
  </si>
  <si>
    <t>https://admin.shopify.com/store/frnch-fr/orders/11006147119838/refund</t>
  </si>
  <si>
    <t>10301199592924 / #FR122674</t>
  </si>
  <si>
    <t>Pantalon PHANTOM Ocre</t>
  </si>
  <si>
    <t>https://admin.shopify.com/store/frnch-fr/orders/10301199592924/refund</t>
  </si>
  <si>
    <t>11003147162233 / #FR123346</t>
  </si>
  <si>
    <t>Chemise KESSEL Rose</t>
  </si>
  <si>
    <t>https://admin.shopify.com/store/frnch-fr/orders/11003147162233/refund</t>
  </si>
  <si>
    <t>11004147040744 / #FR123135</t>
  </si>
  <si>
    <t>Pantalon RUSSO Noir</t>
  </si>
  <si>
    <t>https://admin.shopify.com/store/frnch-fr/orders/11004147040744/refund</t>
  </si>
  <si>
    <t>Jean BLEUET Bleu Jean</t>
  </si>
  <si>
    <t>11003146690940 / #FR122657</t>
  </si>
  <si>
    <t>Jean BLEUET Bleu jean</t>
  </si>
  <si>
    <t>https://admin.shopify.com/store/frnch-fr/orders/11003146690940/refund</t>
  </si>
  <si>
    <t>11008146774952 / #FRL22802</t>
  </si>
  <si>
    <t>T-shirt MONSTERA Gris</t>
  </si>
  <si>
    <t>https://admin.shopify.com/store/frnch-fr/orders/11008146774952/refund</t>
  </si>
  <si>
    <t>10301200300782 / #FR123482</t>
  </si>
  <si>
    <t>Gilet SAGAN Lilas</t>
  </si>
  <si>
    <t>https://admin.shopify.com/store/frnch-fr/orders/10301200300782/refund</t>
  </si>
  <si>
    <t>10301199980517 / #FR123072</t>
  </si>
  <si>
    <t>Pull FIGARO Bordeaux</t>
  </si>
  <si>
    <t>https://admin.shopify.com/store/frnch-fr/orders/10301199980517/refund</t>
  </si>
  <si>
    <t>10313199628646 / #FR122719</t>
  </si>
  <si>
    <t>https://admin.shopify.com/store/frnch-fr/orders/10313199628646/refund</t>
  </si>
  <si>
    <t>11003146680427 / #FR122639</t>
  </si>
  <si>
    <t>Pantalon AZURE Bleu Jean</t>
  </si>
  <si>
    <t>https://admin.shopify.com/store/frnch-fr/orders/11003146680427/refund</t>
  </si>
  <si>
    <t>1100814664169 / #FR122569</t>
  </si>
  <si>
    <t>T-shirt NEBELUN Noir</t>
  </si>
  <si>
    <t>https://admin.shopify.com/store/frnch-fr/orders/1100814664169/refund</t>
  </si>
  <si>
    <t>11003146962495 / #FR123023</t>
  </si>
  <si>
    <t>Cardigan MORAND Rouge</t>
  </si>
  <si>
    <t>https://admin.shopify.com/store/frnch-fr/orders/11003146962495/refund</t>
  </si>
  <si>
    <t>11003146937237 / #FR122987</t>
  </si>
  <si>
    <t>Chemise RESSEL Rose</t>
  </si>
  <si>
    <t>https://admin.shopify.com/store/frnch-fr/orders/11003146937237/refund</t>
  </si>
  <si>
    <t>T-shirt MONSTERA Creme</t>
  </si>
  <si>
    <t>11003146462551 / #FR122281</t>
  </si>
  <si>
    <t>Robe NALA Bleu nuit</t>
  </si>
  <si>
    <t>https://admin.shopify.com/store/frnch-fr/orders/11003146462551/refund</t>
  </si>
  <si>
    <t>110031-46947703 / #FRI23001</t>
  </si>
  <si>
    <t>Jean BOBTAIL Leopard</t>
  </si>
  <si>
    <t>https://admin.shopify.com/store/frnch-fr/orders/110031-46947703/refund</t>
  </si>
  <si>
    <t>Jean RÉGLISSE Chocolat</t>
  </si>
  <si>
    <t>Tshirt ORCHIS Vert mousse</t>
  </si>
  <si>
    <t>Jupe ELIEN Kaki</t>
  </si>
  <si>
    <t>https://admin.shopify.com/store/frnch-fr/orders/122580/refund</t>
  </si>
  <si>
    <t>Robe PAMELIA Champagne</t>
  </si>
  <si>
    <t>1100314647004 / #FR122291</t>
  </si>
  <si>
    <t>Chemise NEOLA Violet</t>
  </si>
  <si>
    <t>https://admin.shopify.com/store/frnch-fr/orders/1100314647004/refund</t>
  </si>
  <si>
    <t>11003147141197 / #FR123305</t>
  </si>
  <si>
    <t>Pull CHEDID Taupe</t>
  </si>
  <si>
    <t>https://admin.shopify.com/store/frnch-fr/orders/11003147141197/refund</t>
  </si>
  <si>
    <t>10301200168923 / #FR123321</t>
  </si>
  <si>
    <t>Salopette DEE Bleu jean</t>
  </si>
  <si>
    <t>https://admin.shopify.com/store/frnch-fr/orders/10301200168923/refund</t>
  </si>
  <si>
    <t>(vide)</t>
  </si>
  <si>
    <t>Total général</t>
  </si>
  <si>
    <t>Nombre de raison_retour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</si>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</sst>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in Barbotte" refreshedDate="46057.668197800929" createdVersion="8" refreshedVersion="8" minRefreshableVersion="3" recordCount="68" xr:uid="{92E63CFA-DB9C-4DC9-AC08-23252A4C9B8E}">
  <cacheSource type="worksheet">
    <worksheetSource ref="G1:G1048576" sheet="20260203145934236_retours_expor"/>
  </cacheSource>
  <cacheFields count="1">
    <cacheField name="raison_retour" numFmtId="0">
      <sharedItems containsBlank="1" count="8">
        <m/>
        <s v="Trop grand"/>
        <s v="Ne me plaît pas"/>
        <s v="Trop petit"/>
        <s v="Ne me plaît pas " u="1"/>
        <s v="Te groot" u="1"/>
        <s v="Anders dan voorgesteld" u="1"/>
        <s v="Te klei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1"/>
  </r>
  <r>
    <x v="1"/>
  </r>
  <r>
    <x v="2"/>
  </r>
  <r>
    <x v="2"/>
  </r>
  <r>
    <x v="2"/>
  </r>
  <r>
    <x v="2"/>
  </r>
  <r>
    <x v="1"/>
  </r>
  <r>
    <x v="3"/>
  </r>
  <r>
    <x v="3"/>
  </r>
  <r>
    <x v="3"/>
  </r>
  <r>
    <x v="3"/>
  </r>
  <r>
    <x v="1"/>
  </r>
  <r>
    <x v="3"/>
  </r>
  <r>
    <x v="1"/>
  </r>
  <r>
    <x v="2"/>
  </r>
  <r>
    <x v="3"/>
  </r>
  <r>
    <x v="2"/>
  </r>
  <r>
    <x v="3"/>
  </r>
  <r>
    <x v="1"/>
  </r>
  <r>
    <x v="3"/>
  </r>
  <r>
    <x v="2"/>
  </r>
  <r>
    <x v="2"/>
  </r>
  <r>
    <x v="2"/>
  </r>
  <r>
    <x v="2"/>
  </r>
  <r>
    <x v="2"/>
  </r>
  <r>
    <x v="2"/>
  </r>
  <r>
    <x v="1"/>
  </r>
  <r>
    <x v="1"/>
  </r>
  <r>
    <x v="3"/>
  </r>
  <r>
    <x v="3"/>
  </r>
  <r>
    <x v="2"/>
  </r>
  <r>
    <x v="2"/>
  </r>
  <r>
    <x v="3"/>
  </r>
  <r>
    <x v="3"/>
  </r>
  <r>
    <x v="1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04258-BF8D-491A-B794-58867580623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">
  <location ref="A3:B8" firstHeaderRow="1" firstDataRow="1" firstDataCol="1"/>
  <pivotFields count="1">
    <pivotField axis="axisRow" dataField="1" showAll="0">
      <items count="9">
        <item m="1" x="6"/>
        <item x="2"/>
        <item m="1" x="4"/>
        <item m="1" x="5"/>
        <item m="1" x="7"/>
        <item x="1"/>
        <item x="3"/>
        <item x="0"/>
        <item t="default"/>
      </items>
    </pivotField>
  </pivotFields>
  <rowFields count="1">
    <field x="0"/>
  </rowFields>
  <rowItems count="5">
    <i>
      <x v="1"/>
    </i>
    <i>
      <x v="5"/>
    </i>
    <i>
      <x v="6"/>
    </i>
    <i>
      <x v="7"/>
    </i>
    <i t="grand">
      <x/>
    </i>
  </rowItems>
  <colItems count="1">
    <i/>
  </colItems>
  <dataFields count="1">
    <dataField name="Nombre de raison_retou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7118-F6B7-483F-9E2B-9A6B04694D3C}">
  <dimension ref="A3:C8"/>
  <sheetViews>
    <sheetView workbookViewId="0">
      <selection activeCell="F8" sqref="F8"/>
    </sheetView>
  </sheetViews>
  <sheetFormatPr baseColWidth="10" defaultRowHeight="15" x14ac:dyDescent="0.25"/>
  <cols>
    <col min="1" max="1" width="14.7109375" bestFit="1" customWidth="1"/>
    <col min="2" max="2" width="23.7109375" bestFit="1" customWidth="1"/>
  </cols>
  <sheetData>
    <row r="3" spans="1:3" x14ac:dyDescent="0.25">
      <c r="A3" s="2" t="s">
        <v>176</v>
      </c>
      <c r="B3" t="s">
        <v>175</v>
      </c>
    </row>
    <row r="4" spans="1:3" x14ac:dyDescent="0.25">
      <c r="A4" s="3" t="s">
        <v>85</v>
      </c>
      <c r="B4" s="4">
        <v>17</v>
      </c>
      <c r="C4" s="5">
        <f>B4/39</f>
        <v>0.4358974358974359</v>
      </c>
    </row>
    <row r="5" spans="1:3" x14ac:dyDescent="0.25">
      <c r="A5" s="3" t="s">
        <v>91</v>
      </c>
      <c r="B5" s="4">
        <v>10</v>
      </c>
      <c r="C5" s="5">
        <f t="shared" ref="C5:C6" si="0">B5/39</f>
        <v>0.25641025641025639</v>
      </c>
    </row>
    <row r="6" spans="1:3" x14ac:dyDescent="0.25">
      <c r="A6" s="3" t="s">
        <v>111</v>
      </c>
      <c r="B6" s="4">
        <v>12</v>
      </c>
      <c r="C6" s="5">
        <f t="shared" si="0"/>
        <v>0.30769230769230771</v>
      </c>
    </row>
    <row r="7" spans="1:3" x14ac:dyDescent="0.25">
      <c r="A7" s="3" t="s">
        <v>173</v>
      </c>
      <c r="B7" s="4"/>
    </row>
    <row r="8" spans="1:3" x14ac:dyDescent="0.25">
      <c r="A8" s="3" t="s">
        <v>174</v>
      </c>
      <c r="B8" s="4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0F6E-2922-47E6-81E3-127EF26AF981}">
  <dimension ref="A1:H68"/>
  <sheetViews>
    <sheetView tabSelected="1" workbookViewId="0">
      <selection activeCell="H2" sqref="H2"/>
    </sheetView>
  </sheetViews>
  <sheetFormatPr baseColWidth="10" defaultRowHeight="15" x14ac:dyDescent="0.25"/>
  <cols>
    <col min="3" max="3" width="32.28515625" bestFit="1" customWidth="1"/>
    <col min="4" max="4" width="27.140625" bestFit="1" customWidth="1"/>
    <col min="5" max="5" width="52.85546875" bestFit="1" customWidth="1"/>
    <col min="7" max="7" width="21.85546875" bestFit="1" customWidth="1"/>
    <col min="8" max="8" width="6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s="1">
        <v>46056</v>
      </c>
      <c r="H2" t="s">
        <v>12</v>
      </c>
    </row>
    <row r="3" spans="1:8" x14ac:dyDescent="0.25">
      <c r="A3" t="s">
        <v>8</v>
      </c>
      <c r="B3">
        <v>1</v>
      </c>
      <c r="C3" t="s">
        <v>9</v>
      </c>
      <c r="E3" t="s">
        <v>13</v>
      </c>
      <c r="F3" s="1">
        <v>46056</v>
      </c>
    </row>
    <row r="4" spans="1:8" x14ac:dyDescent="0.25">
      <c r="A4" t="s">
        <v>8</v>
      </c>
      <c r="B4">
        <v>1</v>
      </c>
      <c r="C4" t="s">
        <v>9</v>
      </c>
      <c r="E4" t="s">
        <v>14</v>
      </c>
      <c r="F4" s="1">
        <v>46056</v>
      </c>
    </row>
    <row r="5" spans="1:8" x14ac:dyDescent="0.25">
      <c r="A5" t="s">
        <v>8</v>
      </c>
      <c r="B5">
        <v>2</v>
      </c>
      <c r="C5" t="s">
        <v>15</v>
      </c>
      <c r="D5" t="s">
        <v>16</v>
      </c>
      <c r="E5" t="s">
        <v>17</v>
      </c>
      <c r="F5" s="1">
        <v>46056</v>
      </c>
      <c r="H5" t="s">
        <v>18</v>
      </c>
    </row>
    <row r="6" spans="1:8" x14ac:dyDescent="0.25">
      <c r="A6" t="s">
        <v>8</v>
      </c>
      <c r="B6">
        <v>2</v>
      </c>
      <c r="C6" t="s">
        <v>15</v>
      </c>
      <c r="E6" t="s">
        <v>19</v>
      </c>
      <c r="F6" s="1">
        <v>46056</v>
      </c>
    </row>
    <row r="7" spans="1:8" x14ac:dyDescent="0.25">
      <c r="A7" t="s">
        <v>8</v>
      </c>
      <c r="B7">
        <v>3</v>
      </c>
      <c r="C7" t="s">
        <v>9</v>
      </c>
      <c r="D7" t="s">
        <v>20</v>
      </c>
      <c r="E7" t="s">
        <v>21</v>
      </c>
      <c r="F7" s="1">
        <v>46056</v>
      </c>
      <c r="H7" t="s">
        <v>22</v>
      </c>
    </row>
    <row r="8" spans="1:8" x14ac:dyDescent="0.25">
      <c r="A8" t="s">
        <v>8</v>
      </c>
      <c r="B8">
        <v>3</v>
      </c>
      <c r="C8" t="s">
        <v>9</v>
      </c>
      <c r="E8" t="s">
        <v>23</v>
      </c>
      <c r="F8" s="1">
        <v>46056</v>
      </c>
    </row>
    <row r="9" spans="1:8" x14ac:dyDescent="0.25">
      <c r="A9" t="s">
        <v>8</v>
      </c>
      <c r="B9">
        <v>3</v>
      </c>
      <c r="C9" t="s">
        <v>9</v>
      </c>
      <c r="E9" t="s">
        <v>24</v>
      </c>
      <c r="F9" s="1">
        <v>46056</v>
      </c>
    </row>
    <row r="10" spans="1:8" x14ac:dyDescent="0.25">
      <c r="A10" t="s">
        <v>8</v>
      </c>
      <c r="B10">
        <v>4</v>
      </c>
      <c r="C10" t="s">
        <v>25</v>
      </c>
      <c r="D10" t="s">
        <v>26</v>
      </c>
      <c r="E10" t="s">
        <v>27</v>
      </c>
      <c r="F10" s="1">
        <v>46043</v>
      </c>
      <c r="G10" t="s">
        <v>91</v>
      </c>
      <c r="H10" t="s">
        <v>28</v>
      </c>
    </row>
    <row r="11" spans="1:8" x14ac:dyDescent="0.25">
      <c r="A11" t="s">
        <v>8</v>
      </c>
      <c r="B11">
        <v>5</v>
      </c>
      <c r="C11" t="s">
        <v>29</v>
      </c>
      <c r="D11" t="s">
        <v>30</v>
      </c>
      <c r="E11" t="s">
        <v>31</v>
      </c>
      <c r="F11" s="1">
        <v>46056</v>
      </c>
      <c r="H11" t="s">
        <v>32</v>
      </c>
    </row>
    <row r="12" spans="1:8" x14ac:dyDescent="0.25">
      <c r="A12" t="s">
        <v>8</v>
      </c>
      <c r="B12">
        <v>6</v>
      </c>
      <c r="C12" t="s">
        <v>15</v>
      </c>
      <c r="D12" t="s">
        <v>33</v>
      </c>
      <c r="E12" t="s">
        <v>34</v>
      </c>
      <c r="F12" s="1">
        <v>46056</v>
      </c>
      <c r="H12" t="s">
        <v>35</v>
      </c>
    </row>
    <row r="13" spans="1:8" x14ac:dyDescent="0.25">
      <c r="A13" t="s">
        <v>8</v>
      </c>
      <c r="B13">
        <v>6</v>
      </c>
      <c r="C13" t="s">
        <v>15</v>
      </c>
      <c r="E13" t="s">
        <v>36</v>
      </c>
      <c r="F13" s="1">
        <v>46056</v>
      </c>
    </row>
    <row r="14" spans="1:8" x14ac:dyDescent="0.25">
      <c r="A14" t="s">
        <v>8</v>
      </c>
      <c r="B14">
        <v>7</v>
      </c>
      <c r="C14" t="s">
        <v>29</v>
      </c>
      <c r="D14" t="s">
        <v>37</v>
      </c>
      <c r="E14" t="s">
        <v>38</v>
      </c>
      <c r="F14" s="1">
        <v>46056</v>
      </c>
      <c r="H14" t="s">
        <v>39</v>
      </c>
    </row>
    <row r="15" spans="1:8" x14ac:dyDescent="0.25">
      <c r="A15" t="s">
        <v>8</v>
      </c>
      <c r="B15">
        <v>8</v>
      </c>
      <c r="C15" t="s">
        <v>29</v>
      </c>
      <c r="D15" t="s">
        <v>40</v>
      </c>
      <c r="E15" t="s">
        <v>41</v>
      </c>
      <c r="F15" s="1">
        <v>46056</v>
      </c>
      <c r="H15" t="s">
        <v>42</v>
      </c>
    </row>
    <row r="16" spans="1:8" x14ac:dyDescent="0.25">
      <c r="A16" t="s">
        <v>8</v>
      </c>
      <c r="B16">
        <v>9</v>
      </c>
      <c r="C16" t="s">
        <v>43</v>
      </c>
      <c r="D16" t="s">
        <v>44</v>
      </c>
      <c r="E16" t="s">
        <v>45</v>
      </c>
      <c r="F16" s="1">
        <v>46056</v>
      </c>
      <c r="H16" t="s">
        <v>46</v>
      </c>
    </row>
    <row r="17" spans="1:8" x14ac:dyDescent="0.25">
      <c r="A17" t="s">
        <v>8</v>
      </c>
      <c r="B17">
        <v>10</v>
      </c>
      <c r="C17" t="s">
        <v>29</v>
      </c>
      <c r="D17" t="s">
        <v>47</v>
      </c>
      <c r="E17" t="s">
        <v>48</v>
      </c>
      <c r="F17" s="1">
        <v>46056</v>
      </c>
      <c r="H17" t="s">
        <v>49</v>
      </c>
    </row>
    <row r="18" spans="1:8" x14ac:dyDescent="0.25">
      <c r="A18" t="s">
        <v>8</v>
      </c>
      <c r="B18">
        <v>11</v>
      </c>
      <c r="C18" t="s">
        <v>29</v>
      </c>
      <c r="D18" t="s">
        <v>50</v>
      </c>
      <c r="E18" t="s">
        <v>51</v>
      </c>
      <c r="F18" s="1">
        <v>46056</v>
      </c>
      <c r="H18" t="s">
        <v>52</v>
      </c>
    </row>
    <row r="19" spans="1:8" x14ac:dyDescent="0.25">
      <c r="A19" t="s">
        <v>8</v>
      </c>
      <c r="B19">
        <v>12</v>
      </c>
      <c r="C19" t="s">
        <v>15</v>
      </c>
      <c r="D19" t="s">
        <v>53</v>
      </c>
      <c r="E19" t="s">
        <v>54</v>
      </c>
      <c r="F19" s="1">
        <v>46056</v>
      </c>
      <c r="H19" t="s">
        <v>55</v>
      </c>
    </row>
    <row r="20" spans="1:8" x14ac:dyDescent="0.25">
      <c r="A20" t="s">
        <v>8</v>
      </c>
      <c r="B20">
        <v>12</v>
      </c>
      <c r="C20" t="s">
        <v>15</v>
      </c>
      <c r="E20" t="s">
        <v>56</v>
      </c>
      <c r="F20" s="1">
        <v>46056</v>
      </c>
    </row>
    <row r="21" spans="1:8" x14ac:dyDescent="0.25">
      <c r="A21" t="s">
        <v>8</v>
      </c>
      <c r="B21">
        <v>13</v>
      </c>
      <c r="C21" t="s">
        <v>9</v>
      </c>
      <c r="D21" t="s">
        <v>57</v>
      </c>
      <c r="E21" t="s">
        <v>58</v>
      </c>
      <c r="F21" s="1">
        <v>46056</v>
      </c>
      <c r="H21" t="s">
        <v>59</v>
      </c>
    </row>
    <row r="22" spans="1:8" x14ac:dyDescent="0.25">
      <c r="A22" t="s">
        <v>8</v>
      </c>
      <c r="B22">
        <v>13</v>
      </c>
      <c r="C22" t="s">
        <v>9</v>
      </c>
      <c r="E22" t="s">
        <v>60</v>
      </c>
      <c r="F22" s="1">
        <v>46056</v>
      </c>
    </row>
    <row r="23" spans="1:8" x14ac:dyDescent="0.25">
      <c r="A23" t="s">
        <v>8</v>
      </c>
      <c r="B23">
        <v>14</v>
      </c>
      <c r="C23" t="s">
        <v>9</v>
      </c>
      <c r="D23" t="s">
        <v>61</v>
      </c>
      <c r="E23" t="s">
        <v>62</v>
      </c>
      <c r="F23" s="1">
        <v>46056</v>
      </c>
      <c r="H23" t="s">
        <v>63</v>
      </c>
    </row>
    <row r="24" spans="1:8" x14ac:dyDescent="0.25">
      <c r="A24" t="s">
        <v>8</v>
      </c>
      <c r="B24">
        <v>15</v>
      </c>
      <c r="C24" t="s">
        <v>29</v>
      </c>
      <c r="D24" t="s">
        <v>64</v>
      </c>
      <c r="E24" t="s">
        <v>65</v>
      </c>
      <c r="F24" s="1">
        <v>46056</v>
      </c>
      <c r="H24" t="s">
        <v>66</v>
      </c>
    </row>
    <row r="25" spans="1:8" x14ac:dyDescent="0.25">
      <c r="A25" t="s">
        <v>8</v>
      </c>
      <c r="B25">
        <v>16</v>
      </c>
      <c r="C25" t="s">
        <v>15</v>
      </c>
      <c r="D25" t="s">
        <v>67</v>
      </c>
      <c r="E25" t="s">
        <v>68</v>
      </c>
      <c r="F25" s="1">
        <v>46056</v>
      </c>
      <c r="H25" t="s">
        <v>69</v>
      </c>
    </row>
    <row r="26" spans="1:8" x14ac:dyDescent="0.25">
      <c r="A26" t="s">
        <v>8</v>
      </c>
      <c r="B26">
        <v>17</v>
      </c>
      <c r="C26" t="s">
        <v>29</v>
      </c>
      <c r="D26" t="s">
        <v>70</v>
      </c>
      <c r="E26" t="s">
        <v>71</v>
      </c>
      <c r="F26" s="1">
        <v>46056</v>
      </c>
      <c r="H26" t="s">
        <v>72</v>
      </c>
    </row>
    <row r="27" spans="1:8" x14ac:dyDescent="0.25">
      <c r="A27" t="s">
        <v>8</v>
      </c>
      <c r="B27">
        <v>18</v>
      </c>
      <c r="C27" t="s">
        <v>29</v>
      </c>
      <c r="D27" t="s">
        <v>73</v>
      </c>
      <c r="E27" t="s">
        <v>74</v>
      </c>
      <c r="F27" s="1">
        <v>46056</v>
      </c>
      <c r="H27" t="s">
        <v>75</v>
      </c>
    </row>
    <row r="28" spans="1:8" x14ac:dyDescent="0.25">
      <c r="A28" t="s">
        <v>8</v>
      </c>
      <c r="B28">
        <v>19</v>
      </c>
      <c r="C28" t="s">
        <v>9</v>
      </c>
      <c r="D28" t="s">
        <v>76</v>
      </c>
      <c r="E28" t="s">
        <v>77</v>
      </c>
      <c r="F28" s="1">
        <v>46056</v>
      </c>
      <c r="H28" t="s">
        <v>78</v>
      </c>
    </row>
    <row r="29" spans="1:8" x14ac:dyDescent="0.25">
      <c r="A29" t="s">
        <v>8</v>
      </c>
      <c r="B29">
        <v>19</v>
      </c>
      <c r="C29" t="s">
        <v>9</v>
      </c>
      <c r="E29" t="s">
        <v>79</v>
      </c>
      <c r="F29" s="1">
        <v>46056</v>
      </c>
    </row>
    <row r="30" spans="1:8" x14ac:dyDescent="0.25">
      <c r="A30" t="s">
        <v>8</v>
      </c>
      <c r="B30">
        <v>20</v>
      </c>
      <c r="C30" t="s">
        <v>29</v>
      </c>
      <c r="D30" t="s">
        <v>80</v>
      </c>
      <c r="E30" t="s">
        <v>81</v>
      </c>
      <c r="F30" s="1">
        <v>46056</v>
      </c>
      <c r="H30" t="s">
        <v>82</v>
      </c>
    </row>
    <row r="31" spans="1:8" x14ac:dyDescent="0.25">
      <c r="A31" t="s">
        <v>8</v>
      </c>
      <c r="B31">
        <v>21</v>
      </c>
      <c r="C31" t="s">
        <v>25</v>
      </c>
      <c r="D31" t="s">
        <v>83</v>
      </c>
      <c r="E31" t="s">
        <v>84</v>
      </c>
      <c r="F31" s="1">
        <v>46047</v>
      </c>
      <c r="G31" t="s">
        <v>85</v>
      </c>
      <c r="H31" t="s">
        <v>86</v>
      </c>
    </row>
    <row r="32" spans="1:8" x14ac:dyDescent="0.25">
      <c r="A32" t="s">
        <v>8</v>
      </c>
      <c r="B32">
        <v>21</v>
      </c>
      <c r="C32" t="s">
        <v>25</v>
      </c>
      <c r="E32" t="s">
        <v>87</v>
      </c>
      <c r="F32" s="1">
        <v>46047</v>
      </c>
      <c r="G32" t="s">
        <v>85</v>
      </c>
    </row>
    <row r="33" spans="1:8" x14ac:dyDescent="0.25">
      <c r="A33" t="s">
        <v>8</v>
      </c>
      <c r="B33">
        <v>21</v>
      </c>
      <c r="C33" t="s">
        <v>25</v>
      </c>
      <c r="E33" t="s">
        <v>88</v>
      </c>
      <c r="F33" s="1">
        <v>46047</v>
      </c>
      <c r="G33" t="s">
        <v>85</v>
      </c>
    </row>
    <row r="34" spans="1:8" x14ac:dyDescent="0.25">
      <c r="A34" t="s">
        <v>8</v>
      </c>
      <c r="B34">
        <v>22</v>
      </c>
      <c r="C34" t="s">
        <v>25</v>
      </c>
      <c r="D34" t="s">
        <v>89</v>
      </c>
      <c r="E34" t="s">
        <v>90</v>
      </c>
      <c r="F34" s="1">
        <v>46041</v>
      </c>
      <c r="G34" t="s">
        <v>91</v>
      </c>
      <c r="H34" t="s">
        <v>92</v>
      </c>
    </row>
    <row r="35" spans="1:8" x14ac:dyDescent="0.25">
      <c r="A35" t="s">
        <v>8</v>
      </c>
      <c r="B35">
        <v>23</v>
      </c>
      <c r="C35" t="s">
        <v>25</v>
      </c>
      <c r="D35" t="s">
        <v>93</v>
      </c>
      <c r="E35" t="s">
        <v>94</v>
      </c>
      <c r="F35" s="1">
        <v>46045</v>
      </c>
      <c r="G35" t="s">
        <v>91</v>
      </c>
      <c r="H35" t="s">
        <v>95</v>
      </c>
    </row>
    <row r="36" spans="1:8" x14ac:dyDescent="0.25">
      <c r="A36" t="s">
        <v>8</v>
      </c>
      <c r="B36">
        <v>24</v>
      </c>
      <c r="C36" t="s">
        <v>25</v>
      </c>
      <c r="D36" t="s">
        <v>96</v>
      </c>
      <c r="E36" t="s">
        <v>97</v>
      </c>
      <c r="F36" s="1">
        <v>46044</v>
      </c>
      <c r="G36" t="s">
        <v>85</v>
      </c>
      <c r="H36" t="s">
        <v>98</v>
      </c>
    </row>
    <row r="37" spans="1:8" x14ac:dyDescent="0.25">
      <c r="A37" t="s">
        <v>8</v>
      </c>
      <c r="B37">
        <v>25</v>
      </c>
      <c r="C37" t="s">
        <v>25</v>
      </c>
      <c r="D37" t="s">
        <v>99</v>
      </c>
      <c r="E37" t="s">
        <v>100</v>
      </c>
      <c r="F37" s="1">
        <v>46044</v>
      </c>
      <c r="G37" t="s">
        <v>85</v>
      </c>
      <c r="H37" t="s">
        <v>101</v>
      </c>
    </row>
    <row r="38" spans="1:8" x14ac:dyDescent="0.25">
      <c r="A38" t="s">
        <v>8</v>
      </c>
      <c r="B38">
        <v>25</v>
      </c>
      <c r="C38" t="s">
        <v>25</v>
      </c>
      <c r="E38" t="s">
        <v>102</v>
      </c>
      <c r="F38" s="1">
        <v>46044</v>
      </c>
      <c r="G38" t="s">
        <v>85</v>
      </c>
    </row>
    <row r="39" spans="1:8" x14ac:dyDescent="0.25">
      <c r="A39" t="s">
        <v>8</v>
      </c>
      <c r="B39">
        <v>26</v>
      </c>
      <c r="C39" t="s">
        <v>25</v>
      </c>
      <c r="D39" t="s">
        <v>103</v>
      </c>
      <c r="E39" t="s">
        <v>104</v>
      </c>
      <c r="F39" s="1">
        <v>46049</v>
      </c>
      <c r="G39" t="s">
        <v>85</v>
      </c>
      <c r="H39" t="s">
        <v>105</v>
      </c>
    </row>
    <row r="40" spans="1:8" x14ac:dyDescent="0.25">
      <c r="A40" t="s">
        <v>8</v>
      </c>
      <c r="B40">
        <v>27</v>
      </c>
      <c r="C40" t="s">
        <v>25</v>
      </c>
      <c r="D40" t="s">
        <v>106</v>
      </c>
      <c r="E40" t="s">
        <v>107</v>
      </c>
      <c r="F40" s="1">
        <v>46043</v>
      </c>
      <c r="G40" t="s">
        <v>91</v>
      </c>
      <c r="H40" t="s">
        <v>108</v>
      </c>
    </row>
    <row r="41" spans="1:8" x14ac:dyDescent="0.25">
      <c r="A41" t="s">
        <v>8</v>
      </c>
      <c r="B41">
        <v>28</v>
      </c>
      <c r="C41" t="s">
        <v>25</v>
      </c>
      <c r="D41" t="s">
        <v>109</v>
      </c>
      <c r="E41" t="s">
        <v>110</v>
      </c>
      <c r="F41" s="1">
        <v>46032</v>
      </c>
      <c r="G41" t="s">
        <v>111</v>
      </c>
      <c r="H41" t="s">
        <v>112</v>
      </c>
    </row>
    <row r="42" spans="1:8" x14ac:dyDescent="0.25">
      <c r="A42" t="s">
        <v>8</v>
      </c>
      <c r="B42">
        <v>29</v>
      </c>
      <c r="C42" t="s">
        <v>25</v>
      </c>
      <c r="D42" t="s">
        <v>113</v>
      </c>
      <c r="E42" t="s">
        <v>114</v>
      </c>
      <c r="F42" s="1">
        <v>46046</v>
      </c>
      <c r="G42" t="s">
        <v>111</v>
      </c>
      <c r="H42" t="s">
        <v>115</v>
      </c>
    </row>
    <row r="43" spans="1:8" x14ac:dyDescent="0.25">
      <c r="A43" t="s">
        <v>8</v>
      </c>
      <c r="B43">
        <v>30</v>
      </c>
      <c r="C43" t="s">
        <v>25</v>
      </c>
      <c r="D43" t="s">
        <v>116</v>
      </c>
      <c r="E43" t="s">
        <v>117</v>
      </c>
      <c r="F43" s="1">
        <v>45674</v>
      </c>
      <c r="G43" t="s">
        <v>111</v>
      </c>
      <c r="H43" t="s">
        <v>118</v>
      </c>
    </row>
    <row r="44" spans="1:8" x14ac:dyDescent="0.25">
      <c r="A44" t="s">
        <v>8</v>
      </c>
      <c r="B44">
        <v>31</v>
      </c>
      <c r="C44" t="s">
        <v>25</v>
      </c>
      <c r="D44" t="s">
        <v>119</v>
      </c>
      <c r="E44" t="s">
        <v>120</v>
      </c>
      <c r="F44" s="1">
        <v>46045</v>
      </c>
      <c r="G44" t="s">
        <v>111</v>
      </c>
      <c r="H44" t="s">
        <v>121</v>
      </c>
    </row>
    <row r="45" spans="1:8" x14ac:dyDescent="0.25">
      <c r="A45" t="s">
        <v>8</v>
      </c>
      <c r="B45">
        <v>32</v>
      </c>
      <c r="C45" t="s">
        <v>25</v>
      </c>
      <c r="D45" t="s">
        <v>122</v>
      </c>
      <c r="E45" t="s">
        <v>123</v>
      </c>
      <c r="F45" s="1">
        <v>46045</v>
      </c>
      <c r="G45" t="s">
        <v>91</v>
      </c>
      <c r="H45" t="s">
        <v>124</v>
      </c>
    </row>
    <row r="46" spans="1:8" x14ac:dyDescent="0.25">
      <c r="A46" t="s">
        <v>8</v>
      </c>
      <c r="B46">
        <v>32</v>
      </c>
      <c r="C46" t="s">
        <v>25</v>
      </c>
      <c r="E46" t="s">
        <v>125</v>
      </c>
      <c r="F46" s="1">
        <v>46045</v>
      </c>
      <c r="G46" t="s">
        <v>111</v>
      </c>
    </row>
    <row r="47" spans="1:8" x14ac:dyDescent="0.25">
      <c r="A47" t="s">
        <v>8</v>
      </c>
      <c r="B47">
        <v>33</v>
      </c>
      <c r="C47" t="s">
        <v>25</v>
      </c>
      <c r="D47" t="s">
        <v>126</v>
      </c>
      <c r="E47" t="s">
        <v>127</v>
      </c>
      <c r="F47" s="1">
        <v>46037</v>
      </c>
      <c r="G47" t="s">
        <v>91</v>
      </c>
      <c r="H47" t="s">
        <v>128</v>
      </c>
    </row>
    <row r="48" spans="1:8" x14ac:dyDescent="0.25">
      <c r="A48" t="s">
        <v>8</v>
      </c>
      <c r="B48">
        <v>34</v>
      </c>
      <c r="C48" t="s">
        <v>25</v>
      </c>
      <c r="D48" t="s">
        <v>129</v>
      </c>
      <c r="E48" t="s">
        <v>130</v>
      </c>
      <c r="F48" s="1">
        <v>46040</v>
      </c>
      <c r="G48" t="s">
        <v>85</v>
      </c>
      <c r="H48" t="s">
        <v>131</v>
      </c>
    </row>
    <row r="49" spans="1:8" x14ac:dyDescent="0.25">
      <c r="A49" t="s">
        <v>8</v>
      </c>
      <c r="B49">
        <v>35</v>
      </c>
      <c r="C49" t="s">
        <v>25</v>
      </c>
      <c r="D49" t="s">
        <v>132</v>
      </c>
      <c r="E49" t="s">
        <v>133</v>
      </c>
      <c r="F49" s="1">
        <v>46049</v>
      </c>
      <c r="G49" t="s">
        <v>111</v>
      </c>
      <c r="H49" t="s">
        <v>134</v>
      </c>
    </row>
    <row r="50" spans="1:8" x14ac:dyDescent="0.25">
      <c r="A50" t="s">
        <v>8</v>
      </c>
      <c r="B50">
        <v>36</v>
      </c>
      <c r="C50" t="s">
        <v>25</v>
      </c>
      <c r="D50" t="s">
        <v>135</v>
      </c>
      <c r="E50" t="s">
        <v>136</v>
      </c>
      <c r="F50" s="1">
        <v>46044</v>
      </c>
      <c r="G50" t="s">
        <v>85</v>
      </c>
      <c r="H50" t="s">
        <v>137</v>
      </c>
    </row>
    <row r="51" spans="1:8" x14ac:dyDescent="0.25">
      <c r="A51" t="s">
        <v>8</v>
      </c>
      <c r="B51">
        <v>37</v>
      </c>
      <c r="C51" t="s">
        <v>25</v>
      </c>
      <c r="D51" t="s">
        <v>138</v>
      </c>
      <c r="E51" t="s">
        <v>97</v>
      </c>
      <c r="F51" s="1">
        <v>45674</v>
      </c>
      <c r="G51" t="s">
        <v>111</v>
      </c>
      <c r="H51" t="s">
        <v>139</v>
      </c>
    </row>
    <row r="52" spans="1:8" x14ac:dyDescent="0.25">
      <c r="A52" t="s">
        <v>8</v>
      </c>
      <c r="B52">
        <v>38</v>
      </c>
      <c r="C52" t="s">
        <v>25</v>
      </c>
      <c r="D52" t="s">
        <v>140</v>
      </c>
      <c r="E52" t="s">
        <v>141</v>
      </c>
      <c r="F52" s="1">
        <v>46038</v>
      </c>
      <c r="G52" t="s">
        <v>91</v>
      </c>
      <c r="H52" t="s">
        <v>142</v>
      </c>
    </row>
    <row r="53" spans="1:8" x14ac:dyDescent="0.25">
      <c r="A53" t="s">
        <v>8</v>
      </c>
      <c r="B53">
        <v>39</v>
      </c>
      <c r="C53" t="s">
        <v>25</v>
      </c>
      <c r="D53" t="s">
        <v>143</v>
      </c>
      <c r="E53" t="s">
        <v>144</v>
      </c>
      <c r="F53" s="1">
        <v>45670</v>
      </c>
      <c r="G53" t="s">
        <v>111</v>
      </c>
      <c r="H53" t="s">
        <v>145</v>
      </c>
    </row>
    <row r="54" spans="1:8" x14ac:dyDescent="0.25">
      <c r="A54" t="s">
        <v>8</v>
      </c>
      <c r="B54">
        <v>40</v>
      </c>
      <c r="C54" t="s">
        <v>25</v>
      </c>
      <c r="D54" t="s">
        <v>146</v>
      </c>
      <c r="E54" t="s">
        <v>147</v>
      </c>
      <c r="F54" s="1">
        <v>46043</v>
      </c>
      <c r="G54" t="s">
        <v>85</v>
      </c>
      <c r="H54" t="s">
        <v>148</v>
      </c>
    </row>
    <row r="55" spans="1:8" x14ac:dyDescent="0.25">
      <c r="A55" t="s">
        <v>8</v>
      </c>
      <c r="B55">
        <v>41</v>
      </c>
      <c r="C55" t="s">
        <v>25</v>
      </c>
      <c r="D55" t="s">
        <v>149</v>
      </c>
      <c r="E55" t="s">
        <v>150</v>
      </c>
      <c r="F55" s="1">
        <v>46043</v>
      </c>
      <c r="G55" t="s">
        <v>85</v>
      </c>
      <c r="H55" t="s">
        <v>151</v>
      </c>
    </row>
    <row r="56" spans="1:8" x14ac:dyDescent="0.25">
      <c r="A56" t="s">
        <v>8</v>
      </c>
      <c r="B56">
        <v>41</v>
      </c>
      <c r="C56" t="s">
        <v>25</v>
      </c>
      <c r="E56" t="s">
        <v>152</v>
      </c>
      <c r="F56" s="1">
        <v>46043</v>
      </c>
      <c r="G56" t="s">
        <v>85</v>
      </c>
    </row>
    <row r="57" spans="1:8" x14ac:dyDescent="0.25">
      <c r="A57" t="s">
        <v>8</v>
      </c>
      <c r="B57">
        <v>41</v>
      </c>
      <c r="C57" t="s">
        <v>25</v>
      </c>
      <c r="E57" t="s">
        <v>90</v>
      </c>
      <c r="F57" s="1">
        <v>46043</v>
      </c>
      <c r="G57" t="s">
        <v>85</v>
      </c>
    </row>
    <row r="58" spans="1:8" x14ac:dyDescent="0.25">
      <c r="A58" t="s">
        <v>8</v>
      </c>
      <c r="B58">
        <v>41</v>
      </c>
      <c r="C58" t="s">
        <v>25</v>
      </c>
      <c r="E58" t="s">
        <v>130</v>
      </c>
      <c r="F58" s="1">
        <v>46043</v>
      </c>
      <c r="G58" t="s">
        <v>85</v>
      </c>
    </row>
    <row r="59" spans="1:8" x14ac:dyDescent="0.25">
      <c r="A59" t="s">
        <v>8</v>
      </c>
      <c r="B59">
        <v>41</v>
      </c>
      <c r="C59" t="s">
        <v>25</v>
      </c>
      <c r="E59" t="s">
        <v>102</v>
      </c>
      <c r="F59" s="1">
        <v>46043</v>
      </c>
      <c r="G59" t="s">
        <v>85</v>
      </c>
    </row>
    <row r="60" spans="1:8" x14ac:dyDescent="0.25">
      <c r="A60" t="s">
        <v>8</v>
      </c>
      <c r="B60">
        <v>42</v>
      </c>
      <c r="C60" t="s">
        <v>25</v>
      </c>
      <c r="D60" t="s">
        <v>153</v>
      </c>
      <c r="E60" t="s">
        <v>154</v>
      </c>
      <c r="F60" s="1">
        <v>46034</v>
      </c>
      <c r="G60" t="s">
        <v>91</v>
      </c>
      <c r="H60" t="s">
        <v>155</v>
      </c>
    </row>
    <row r="61" spans="1:8" x14ac:dyDescent="0.25">
      <c r="A61" t="s">
        <v>8</v>
      </c>
      <c r="B61">
        <v>43</v>
      </c>
      <c r="C61" t="s">
        <v>25</v>
      </c>
      <c r="D61" t="s">
        <v>156</v>
      </c>
      <c r="E61" t="s">
        <v>157</v>
      </c>
      <c r="F61" s="1">
        <v>46043</v>
      </c>
      <c r="G61" t="s">
        <v>91</v>
      </c>
      <c r="H61" t="s">
        <v>158</v>
      </c>
    </row>
    <row r="62" spans="1:8" x14ac:dyDescent="0.25">
      <c r="A62" t="s">
        <v>8</v>
      </c>
      <c r="B62">
        <v>43</v>
      </c>
      <c r="C62" t="s">
        <v>25</v>
      </c>
      <c r="E62" t="s">
        <v>159</v>
      </c>
      <c r="F62" s="1">
        <v>46043</v>
      </c>
      <c r="G62" t="s">
        <v>111</v>
      </c>
    </row>
    <row r="63" spans="1:8" x14ac:dyDescent="0.25">
      <c r="A63" t="s">
        <v>8</v>
      </c>
      <c r="B63">
        <v>43</v>
      </c>
      <c r="C63" t="s">
        <v>25</v>
      </c>
      <c r="E63" t="s">
        <v>160</v>
      </c>
      <c r="F63" s="1">
        <v>46043</v>
      </c>
      <c r="G63" t="s">
        <v>111</v>
      </c>
    </row>
    <row r="64" spans="1:8" x14ac:dyDescent="0.25">
      <c r="A64" t="s">
        <v>8</v>
      </c>
      <c r="B64">
        <v>44</v>
      </c>
      <c r="C64" t="s">
        <v>25</v>
      </c>
      <c r="D64">
        <v>122580</v>
      </c>
      <c r="E64" t="s">
        <v>161</v>
      </c>
      <c r="F64" s="1">
        <v>46037</v>
      </c>
      <c r="G64" t="s">
        <v>85</v>
      </c>
      <c r="H64" t="s">
        <v>162</v>
      </c>
    </row>
    <row r="65" spans="1:8" x14ac:dyDescent="0.25">
      <c r="A65" t="s">
        <v>8</v>
      </c>
      <c r="B65">
        <v>44</v>
      </c>
      <c r="C65" t="s">
        <v>25</v>
      </c>
      <c r="E65" t="s">
        <v>163</v>
      </c>
      <c r="F65" s="1">
        <v>46037</v>
      </c>
      <c r="G65" t="s">
        <v>85</v>
      </c>
    </row>
    <row r="66" spans="1:8" x14ac:dyDescent="0.25">
      <c r="A66" t="s">
        <v>8</v>
      </c>
      <c r="B66">
        <v>45</v>
      </c>
      <c r="C66" t="s">
        <v>25</v>
      </c>
      <c r="D66" t="s">
        <v>164</v>
      </c>
      <c r="E66" t="s">
        <v>165</v>
      </c>
      <c r="F66" s="1">
        <v>46034</v>
      </c>
      <c r="G66" t="s">
        <v>111</v>
      </c>
      <c r="H66" t="s">
        <v>166</v>
      </c>
    </row>
    <row r="67" spans="1:8" x14ac:dyDescent="0.25">
      <c r="A67" t="s">
        <v>8</v>
      </c>
      <c r="B67">
        <v>46</v>
      </c>
      <c r="C67" t="s">
        <v>25</v>
      </c>
      <c r="D67" t="s">
        <v>167</v>
      </c>
      <c r="E67" t="s">
        <v>168</v>
      </c>
      <c r="F67" s="1">
        <v>46047</v>
      </c>
      <c r="G67" t="s">
        <v>111</v>
      </c>
      <c r="H67" t="s">
        <v>169</v>
      </c>
    </row>
    <row r="68" spans="1:8" x14ac:dyDescent="0.25">
      <c r="A68" t="s">
        <v>8</v>
      </c>
      <c r="B68">
        <v>47</v>
      </c>
      <c r="C68" t="s">
        <v>25</v>
      </c>
      <c r="D68" t="s">
        <v>170</v>
      </c>
      <c r="E68" t="s">
        <v>171</v>
      </c>
      <c r="F68" s="1">
        <v>46047</v>
      </c>
      <c r="G68" t="s">
        <v>91</v>
      </c>
      <c r="H68" t="s">
        <v>172</v>
      </c>
    </row>
  </sheetData>
  <autoFilter ref="A1:H68" xr:uid="{18F10F6E-2922-47E6-81E3-127EF26AF9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20260203145934236_retours_expor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Barbotte</dc:creator>
  <cp:lastModifiedBy>Alain Barbotte</cp:lastModifiedBy>
  <dcterms:modified xsi:type="dcterms:W3CDTF">2026-03-09T10:16:23Z</dcterms:modified>
</cp:coreProperties>
</file>